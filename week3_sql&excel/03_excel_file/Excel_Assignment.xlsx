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ternNova\Week 3\"/>
    </mc:Choice>
  </mc:AlternateContent>
  <bookViews>
    <workbookView xWindow="0" yWindow="0" windowWidth="23040" windowHeight="9372"/>
  </bookViews>
  <sheets>
    <sheet name="employees" sheetId="1" r:id="rId1"/>
    <sheet name="departments" sheetId="2" r:id="rId2"/>
    <sheet name="Piviot_charts" sheetId="3" r:id="rId3"/>
  </sheets>
  <definedNames>
    <definedName name="departments" localSheetId="1">departments!$A$1:$A$6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N20" i="1" l="1"/>
  <c r="N19" i="1"/>
  <c r="D2" i="1"/>
  <c r="E3" i="1"/>
  <c r="E4" i="1"/>
  <c r="E5" i="1"/>
  <c r="E6" i="1"/>
  <c r="E7" i="1"/>
  <c r="E8" i="1"/>
  <c r="E9" i="1"/>
  <c r="E10" i="1"/>
  <c r="E11" i="1"/>
  <c r="E12" i="1"/>
  <c r="E13" i="1"/>
  <c r="E2" i="1"/>
  <c r="D3" i="1" l="1"/>
  <c r="D4" i="1"/>
  <c r="D5" i="1"/>
  <c r="D6" i="1"/>
  <c r="D7" i="1"/>
  <c r="D8" i="1"/>
  <c r="D9" i="1"/>
  <c r="D10" i="1"/>
  <c r="D11" i="1"/>
  <c r="D12" i="1"/>
  <c r="D13" i="1"/>
  <c r="H2" i="1"/>
  <c r="H3" i="1"/>
  <c r="H4" i="1"/>
  <c r="H5" i="1"/>
  <c r="H6" i="1"/>
  <c r="H7" i="1"/>
  <c r="H8" i="1"/>
  <c r="H9" i="1"/>
  <c r="H10" i="1"/>
  <c r="H11" i="1"/>
  <c r="H12" i="1"/>
  <c r="H13" i="1"/>
</calcChain>
</file>

<file path=xl/connections.xml><?xml version="1.0" encoding="utf-8"?>
<connections xmlns="http://schemas.openxmlformats.org/spreadsheetml/2006/main">
  <connection id="1" name="departments" type="6" refreshedVersion="5" background="1" saveData="1">
    <textPr codePage="437" sourceFile="C:\Users\USER\Downloads\departments.csv">
      <textFields>
        <textField/>
      </textFields>
    </textPr>
  </connection>
</connections>
</file>

<file path=xl/sharedStrings.xml><?xml version="1.0" encoding="utf-8"?>
<sst xmlns="http://schemas.openxmlformats.org/spreadsheetml/2006/main" count="77" uniqueCount="60">
  <si>
    <t>department_id</t>
  </si>
  <si>
    <t>E004</t>
  </si>
  <si>
    <t>Sneha Roy</t>
  </si>
  <si>
    <t>Bangalore</t>
  </si>
  <si>
    <t>E008</t>
  </si>
  <si>
    <t>Neha Verma</t>
  </si>
  <si>
    <t>E005</t>
  </si>
  <si>
    <t>Karan Mehta</t>
  </si>
  <si>
    <t>E010</t>
  </si>
  <si>
    <t>Divya Iyer</t>
  </si>
  <si>
    <t>Chennai</t>
  </si>
  <si>
    <t>E009</t>
  </si>
  <si>
    <t>Arjun Reddy</t>
  </si>
  <si>
    <t>E006</t>
  </si>
  <si>
    <t>Anjali Gupta</t>
  </si>
  <si>
    <t>Delhi</t>
  </si>
  <si>
    <t>E012</t>
  </si>
  <si>
    <t>Pooja Bansal</t>
  </si>
  <si>
    <t>E001</t>
  </si>
  <si>
    <t>Aarav Sharma</t>
  </si>
  <si>
    <t>Kolkata</t>
  </si>
  <si>
    <t>E011</t>
  </si>
  <si>
    <t>Rahul Kapoor</t>
  </si>
  <si>
    <t>E003</t>
  </si>
  <si>
    <t>Rohan Das</t>
  </si>
  <si>
    <t>E002</t>
  </si>
  <si>
    <t>Priya Nair</t>
  </si>
  <si>
    <t>Mumbai</t>
  </si>
  <si>
    <t>E007</t>
  </si>
  <si>
    <t>Vikram Singh</t>
  </si>
  <si>
    <t>Employee ID</t>
  </si>
  <si>
    <t>Employee Name</t>
  </si>
  <si>
    <t>Department ID</t>
  </si>
  <si>
    <t>Age</t>
  </si>
  <si>
    <t>Monthly Salary</t>
  </si>
  <si>
    <t>City</t>
  </si>
  <si>
    <t>Join Year</t>
  </si>
  <si>
    <t>Total Salary for a Department:</t>
  </si>
  <si>
    <t>Count employees in a Department:</t>
  </si>
  <si>
    <t>department_name</t>
  </si>
  <si>
    <t>head</t>
  </si>
  <si>
    <t>location</t>
  </si>
  <si>
    <t>IT</t>
  </si>
  <si>
    <t>Sanjay Kumar</t>
  </si>
  <si>
    <t>Finance</t>
  </si>
  <si>
    <t>Meera Nair</t>
  </si>
  <si>
    <t>Marketing</t>
  </si>
  <si>
    <t>Ritu Chawla</t>
  </si>
  <si>
    <t>Sales</t>
  </si>
  <si>
    <t>Amit Malhotra</t>
  </si>
  <si>
    <t>HR</t>
  </si>
  <si>
    <t>Suman Ghosh</t>
  </si>
  <si>
    <t>Category</t>
  </si>
  <si>
    <t>Dept Name (VLOOKUP)</t>
  </si>
  <si>
    <t>Dept Name (XLOOKUP)</t>
  </si>
  <si>
    <t>Row Labels</t>
  </si>
  <si>
    <t>Grand Total</t>
  </si>
  <si>
    <t>Not Found</t>
  </si>
  <si>
    <t>Average of Monthly Salary</t>
  </si>
  <si>
    <t>Average Salary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</si>
</sst>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₹-4009]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ont="1"/>
    <xf numFmtId="1" fontId="0" fillId="0" borderId="0" xfId="0" applyNumberFormat="1" applyFont="1" applyAlignment="1">
      <alignment horizontal="center"/>
    </xf>
    <xf numFmtId="164" fontId="0" fillId="0" borderId="0" xfId="0" applyNumberFormat="1" applyFont="1"/>
    <xf numFmtId="0" fontId="0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5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₹-4009]\ #,##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₹-4009]\ #,##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numFmt numFmtId="164" formatCode="[$₹-4009]\ #,##0"/>
    </dxf>
    <dxf>
      <numFmt numFmtId="164" formatCode="[$₹-4009]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[employees.xlsx]Piviot_charts!PivotTable1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Average Salary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 w="31750"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Piviot_charts!$B$3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31750"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cat>
            <c:strRef>
              <c:f>Piviot_charts!$A$4:$A$9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Not Found</c:v>
                </c:pt>
                <c:pt idx="4">
                  <c:v>Sales</c:v>
                </c:pt>
              </c:strCache>
            </c:strRef>
          </c:cat>
          <c:val>
            <c:numRef>
              <c:f>Piviot_charts!$B$4:$B$9</c:f>
              <c:numCache>
                <c:formatCode>[$₹-4009]\ #,##0</c:formatCode>
                <c:ptCount val="5"/>
                <c:pt idx="0">
                  <c:v>59000</c:v>
                </c:pt>
                <c:pt idx="1">
                  <c:v>68333.333333333328</c:v>
                </c:pt>
                <c:pt idx="2">
                  <c:v>53000</c:v>
                </c:pt>
                <c:pt idx="3">
                  <c:v>53000</c:v>
                </c:pt>
                <c:pt idx="4">
                  <c:v>46500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7"/>
        <c:overlap val="60"/>
        <c:axId val="147195472"/>
        <c:axId val="250972888"/>
      </c:barChart>
      <c:catAx>
        <c:axId val="147195472"/>
        <c:scaling>
          <c:orientation val="minMax"/>
        </c:scaling>
        <c:delete val="0"/>
        <c:axPos val="b"/>
        <c:numFmt formatCode="[$₹-4009]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72888"/>
        <c:crosses val="autoZero"/>
        <c:auto val="1"/>
        <c:lblAlgn val="ctr"/>
        <c:lblOffset val="100"/>
        <c:noMultiLvlLbl val="0"/>
      </c:catAx>
      <c:valAx>
        <c:axId val="25097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815340</xdr:colOff>
      <xdr:row>2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7.561471875" createdVersion="5" refreshedVersion="5" minRefreshableVersion="3" recordCount="12">
  <cacheSource type="worksheet">
    <worksheetSource name="Table1"/>
  </cacheSource>
  <cacheFields count="10">
    <cacheField name="Employee ID" numFmtId="0">
      <sharedItems/>
    </cacheField>
    <cacheField name="Employee Name" numFmtId="0">
      <sharedItems/>
    </cacheField>
    <cacheField name="Department ID" numFmtId="0">
      <sharedItems containsSemiMixedTypes="0" containsString="0" containsNumber="1" containsInteger="1" minValue="101" maxValue="999" count="5">
        <n v="103"/>
        <n v="104"/>
        <n v="101"/>
        <n v="102"/>
        <n v="999"/>
      </sharedItems>
    </cacheField>
    <cacheField name="Dept Name (VLOOKUP)" numFmtId="0">
      <sharedItems/>
    </cacheField>
    <cacheField name="Dept Name (XLOOKUP)" numFmtId="0">
      <sharedItems count="5">
        <s v="IT"/>
        <s v="Finance"/>
        <s v="Sales"/>
        <s v="Marketing"/>
        <s v="Not Found"/>
      </sharedItems>
    </cacheField>
    <cacheField name="Age" numFmtId="1">
      <sharedItems containsSemiMixedTypes="0" containsString="0" containsNumber="1" containsInteger="1" minValue="26" maxValue="45"/>
    </cacheField>
    <cacheField name="Monthly Salary" numFmtId="164">
      <sharedItems containsSemiMixedTypes="0" containsString="0" containsNumber="1" containsInteger="1" minValue="39000" maxValue="72000"/>
    </cacheField>
    <cacheField name="Category" numFmtId="164">
      <sharedItems/>
    </cacheField>
    <cacheField name="City" numFmtId="0">
      <sharedItems/>
    </cacheField>
    <cacheField name="Join Year" numFmtId="0">
      <sharedItems containsSemiMixedTypes="0" containsString="0" containsNumber="1" containsInteger="1" minValue="2015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E005"/>
    <s v="Karan Mehta"/>
    <x v="0"/>
    <s v="IT"/>
    <x v="0"/>
    <n v="40"/>
    <n v="72000"/>
    <s v="High Earner"/>
    <s v="Bangalore"/>
    <n v="2018"/>
  </r>
  <r>
    <s v="E004"/>
    <s v="Sneha Roy"/>
    <x v="0"/>
    <s v="IT"/>
    <x v="0"/>
    <n v="31"/>
    <n v="68000"/>
    <s v="High Earner"/>
    <s v="Bangalore"/>
    <n v="2020"/>
  </r>
  <r>
    <s v="E008"/>
    <s v="Neha Verma"/>
    <x v="0"/>
    <s v="IT"/>
    <x v="0"/>
    <n v="27"/>
    <n v="65000"/>
    <s v="High Earner"/>
    <s v="Bangalore"/>
    <n v="2022"/>
  </r>
  <r>
    <s v="E009"/>
    <s v="Arjun Reddy"/>
    <x v="1"/>
    <s v="Finance"/>
    <x v="1"/>
    <n v="38"/>
    <n v="60000"/>
    <s v="Standard"/>
    <s v="Chennai"/>
    <n v="2017"/>
  </r>
  <r>
    <s v="E010"/>
    <s v="Divya Iyer"/>
    <x v="1"/>
    <s v="Finance"/>
    <x v="1"/>
    <n v="35"/>
    <n v="58000"/>
    <s v="Standard"/>
    <s v="Chennai"/>
    <n v="2019"/>
  </r>
  <r>
    <s v="E007"/>
    <s v="Vikram Singh"/>
    <x v="2"/>
    <s v="Sales"/>
    <x v="2"/>
    <n v="45"/>
    <n v="58000"/>
    <s v="Standard"/>
    <s v="Mumbai"/>
    <n v="2015"/>
  </r>
  <r>
    <s v="E002"/>
    <s v="Priya Nair"/>
    <x v="3"/>
    <s v="Marketing"/>
    <x v="3"/>
    <n v="34"/>
    <n v="55000"/>
    <s v="Standard"/>
    <s v="Mumbai"/>
    <n v="2019"/>
  </r>
  <r>
    <s v="E012"/>
    <s v="Pooja Bansal"/>
    <x v="4"/>
    <e v="#N/A"/>
    <x v="4"/>
    <n v="30"/>
    <n v="53000"/>
    <s v="Standard"/>
    <s v="Delhi"/>
    <n v="2021"/>
  </r>
  <r>
    <s v="E006"/>
    <s v="Anjali Gupta"/>
    <x v="3"/>
    <s v="Marketing"/>
    <x v="3"/>
    <n v="28"/>
    <n v="51000"/>
    <s v="Standard"/>
    <s v="Delhi"/>
    <n v="2021"/>
  </r>
  <r>
    <s v="E011"/>
    <s v="Rahul Kapoor"/>
    <x v="2"/>
    <s v="Sales"/>
    <x v="2"/>
    <n v="33"/>
    <n v="47000"/>
    <s v="Standard"/>
    <s v="Kolkata"/>
    <n v="2020"/>
  </r>
  <r>
    <s v="E001"/>
    <s v="Aarav Sharma"/>
    <x v="2"/>
    <s v="Sales"/>
    <x v="2"/>
    <n v="29"/>
    <n v="42000"/>
    <s v="Low Earner"/>
    <s v="Kolkata"/>
    <n v="2021"/>
  </r>
  <r>
    <s v="E003"/>
    <s v="Rohan Das"/>
    <x v="2"/>
    <s v="Sales"/>
    <x v="2"/>
    <n v="26"/>
    <n v="39000"/>
    <s v="Low Earner"/>
    <s v="Kolkata"/>
    <n v="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9" firstHeaderRow="1" firstDataRow="1" firstDataCol="1"/>
  <pivotFields count="10"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 countASubtotal="1">
      <items count="6">
        <item x="1"/>
        <item x="0"/>
        <item x="3"/>
        <item x="4"/>
        <item x="2"/>
        <item t="countA"/>
      </items>
    </pivotField>
    <pivotField numFmtId="1" showAll="0"/>
    <pivotField dataField="1" numFmtId="164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 Salary" fld="6" subtotal="average" baseField="4" baseItem="0" numFmtId="164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epartments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J13" totalsRowShown="0" headerRowDxfId="11" dataDxfId="10">
  <autoFilter ref="A1:J13"/>
  <sortState ref="A2:I13">
    <sortCondition descending="1" ref="G2:G13"/>
  </sortState>
  <tableColumns count="10">
    <tableColumn id="1" name="Employee ID" dataDxfId="9"/>
    <tableColumn id="2" name="Employee Name" dataDxfId="8"/>
    <tableColumn id="3" name="Department ID" dataDxfId="7"/>
    <tableColumn id="11" name="Dept Name (VLOOKUP)" dataDxfId="6">
      <calculatedColumnFormula>VLOOKUP(Table1[[#This Row],[Department ID]],departments!$A$2:$B$6,2,FALSE)</calculatedColumnFormula>
    </tableColumn>
    <tableColumn id="12" name="Dept Name (XLOOKUP)" dataDxfId="5">
      <calculatedColumnFormula>IFERROR(VLOOKUP(Table1[[#This Row],[Department ID]],departments!$A$2:$B$6,2,FALSE),"Not Found")</calculatedColumnFormula>
    </tableColumn>
    <tableColumn id="4" name="Age" dataDxfId="4"/>
    <tableColumn id="5" name="Monthly Salary" dataDxfId="3"/>
    <tableColumn id="10" name="Category" dataDxfId="2">
      <calculatedColumnFormula>IF(G2&gt;60000,"High Earner",IF(G2&lt;45000,"Low Earner","Standard"))</calculatedColumnFormula>
    </tableColumn>
    <tableColumn id="6" name="City" dataDxfId="1"/>
    <tableColumn id="7" name="Join 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J24" sqref="J24"/>
    </sheetView>
  </sheetViews>
  <sheetFormatPr defaultRowHeight="14.4" x14ac:dyDescent="0.3"/>
  <cols>
    <col min="1" max="1" width="13.109375" customWidth="1"/>
    <col min="2" max="2" width="16.21875" customWidth="1"/>
    <col min="3" max="3" width="14.88671875" customWidth="1"/>
    <col min="4" max="4" width="20.77734375" bestFit="1" customWidth="1"/>
    <col min="5" max="5" width="20.77734375" style="10" customWidth="1"/>
    <col min="6" max="6" width="8.88671875" style="1"/>
    <col min="7" max="8" width="15" style="2" customWidth="1"/>
    <col min="10" max="10" width="10.21875" customWidth="1"/>
    <col min="12" max="12" width="8.88671875" customWidth="1"/>
    <col min="13" max="13" width="29.5546875" customWidth="1"/>
  </cols>
  <sheetData>
    <row r="1" spans="1:10" x14ac:dyDescent="0.3">
      <c r="A1" s="6" t="s">
        <v>30</v>
      </c>
      <c r="B1" s="6" t="s">
        <v>31</v>
      </c>
      <c r="C1" s="6" t="s">
        <v>32</v>
      </c>
      <c r="D1" s="6" t="s">
        <v>53</v>
      </c>
      <c r="E1" s="9" t="s">
        <v>54</v>
      </c>
      <c r="F1" s="7" t="s">
        <v>33</v>
      </c>
      <c r="G1" s="8" t="s">
        <v>34</v>
      </c>
      <c r="H1" s="8" t="s">
        <v>52</v>
      </c>
      <c r="I1" s="6" t="s">
        <v>35</v>
      </c>
      <c r="J1" s="6" t="s">
        <v>36</v>
      </c>
    </row>
    <row r="2" spans="1:10" x14ac:dyDescent="0.3">
      <c r="A2" s="6" t="s">
        <v>6</v>
      </c>
      <c r="B2" s="6" t="s">
        <v>7</v>
      </c>
      <c r="C2" s="6">
        <v>103</v>
      </c>
      <c r="D2" s="6" t="str">
        <f>VLOOKUP(Table1[[#This Row],[Department ID]],departments!$A$2:$B$6,2,FALSE)</f>
        <v>IT</v>
      </c>
      <c r="E2" s="9" t="str">
        <f>IFERROR(VLOOKUP(Table1[[#This Row],[Department ID]],departments!$A$2:$B$6,2,FALSE),"Not Found")</f>
        <v>IT</v>
      </c>
      <c r="F2" s="7">
        <v>40</v>
      </c>
      <c r="G2" s="8">
        <v>72000</v>
      </c>
      <c r="H2" s="8" t="str">
        <f>IF(G2&gt;60000,"High Earner",IF(G2&lt;45000,"Low Earner","Standard"))</f>
        <v>High Earner</v>
      </c>
      <c r="I2" s="6" t="s">
        <v>3</v>
      </c>
      <c r="J2" s="6">
        <v>2018</v>
      </c>
    </row>
    <row r="3" spans="1:10" x14ac:dyDescent="0.3">
      <c r="A3" s="6" t="s">
        <v>1</v>
      </c>
      <c r="B3" s="6" t="s">
        <v>2</v>
      </c>
      <c r="C3" s="6">
        <v>103</v>
      </c>
      <c r="D3" s="6" t="str">
        <f>VLOOKUP(Table1[[#This Row],[Department ID]],departments!$A$2:$B$6,2,FALSE)</f>
        <v>IT</v>
      </c>
      <c r="E3" s="9" t="str">
        <f>IFERROR(VLOOKUP(Table1[[#This Row],[Department ID]],departments!$A$2:$B$6,2,FALSE),"Not Found")</f>
        <v>IT</v>
      </c>
      <c r="F3" s="7">
        <v>31</v>
      </c>
      <c r="G3" s="8">
        <v>68000</v>
      </c>
      <c r="H3" s="8" t="str">
        <f t="shared" ref="H3:H13" si="0">IF(G3&gt;60000,"High Earner",IF(G3&lt;45000,"Low Earner","Standard"))</f>
        <v>High Earner</v>
      </c>
      <c r="I3" s="6" t="s">
        <v>3</v>
      </c>
      <c r="J3" s="6">
        <v>2020</v>
      </c>
    </row>
    <row r="4" spans="1:10" x14ac:dyDescent="0.3">
      <c r="A4" s="6" t="s">
        <v>4</v>
      </c>
      <c r="B4" s="6" t="s">
        <v>5</v>
      </c>
      <c r="C4" s="6">
        <v>103</v>
      </c>
      <c r="D4" s="6" t="str">
        <f>VLOOKUP(Table1[[#This Row],[Department ID]],departments!$A$2:$B$6,2,FALSE)</f>
        <v>IT</v>
      </c>
      <c r="E4" s="9" t="str">
        <f>IFERROR(VLOOKUP(Table1[[#This Row],[Department ID]],departments!$A$2:$B$6,2,FALSE),"Not Found")</f>
        <v>IT</v>
      </c>
      <c r="F4" s="7">
        <v>27</v>
      </c>
      <c r="G4" s="8">
        <v>65000</v>
      </c>
      <c r="H4" s="8" t="str">
        <f t="shared" si="0"/>
        <v>High Earner</v>
      </c>
      <c r="I4" s="6" t="s">
        <v>3</v>
      </c>
      <c r="J4" s="6">
        <v>2022</v>
      </c>
    </row>
    <row r="5" spans="1:10" x14ac:dyDescent="0.3">
      <c r="A5" s="6" t="s">
        <v>11</v>
      </c>
      <c r="B5" s="6" t="s">
        <v>12</v>
      </c>
      <c r="C5" s="6">
        <v>104</v>
      </c>
      <c r="D5" s="6" t="str">
        <f>VLOOKUP(Table1[[#This Row],[Department ID]],departments!$A$2:$B$6,2,FALSE)</f>
        <v>Finance</v>
      </c>
      <c r="E5" s="9" t="str">
        <f>IFERROR(VLOOKUP(Table1[[#This Row],[Department ID]],departments!$A$2:$B$6,2,FALSE),"Not Found")</f>
        <v>Finance</v>
      </c>
      <c r="F5" s="7">
        <v>38</v>
      </c>
      <c r="G5" s="8">
        <v>60000</v>
      </c>
      <c r="H5" s="8" t="str">
        <f t="shared" si="0"/>
        <v>Standard</v>
      </c>
      <c r="I5" s="6" t="s">
        <v>10</v>
      </c>
      <c r="J5" s="6">
        <v>2017</v>
      </c>
    </row>
    <row r="6" spans="1:10" x14ac:dyDescent="0.3">
      <c r="A6" s="6" t="s">
        <v>8</v>
      </c>
      <c r="B6" s="6" t="s">
        <v>9</v>
      </c>
      <c r="C6" s="6">
        <v>104</v>
      </c>
      <c r="D6" s="6" t="str">
        <f>VLOOKUP(Table1[[#This Row],[Department ID]],departments!$A$2:$B$6,2,FALSE)</f>
        <v>Finance</v>
      </c>
      <c r="E6" s="9" t="str">
        <f>IFERROR(VLOOKUP(Table1[[#This Row],[Department ID]],departments!$A$2:$B$6,2,FALSE),"Not Found")</f>
        <v>Finance</v>
      </c>
      <c r="F6" s="7">
        <v>35</v>
      </c>
      <c r="G6" s="8">
        <v>58000</v>
      </c>
      <c r="H6" s="8" t="str">
        <f t="shared" si="0"/>
        <v>Standard</v>
      </c>
      <c r="I6" s="6" t="s">
        <v>10</v>
      </c>
      <c r="J6" s="6">
        <v>2019</v>
      </c>
    </row>
    <row r="7" spans="1:10" x14ac:dyDescent="0.3">
      <c r="A7" s="6" t="s">
        <v>28</v>
      </c>
      <c r="B7" s="6" t="s">
        <v>29</v>
      </c>
      <c r="C7" s="6">
        <v>101</v>
      </c>
      <c r="D7" s="6" t="str">
        <f>VLOOKUP(Table1[[#This Row],[Department ID]],departments!$A$2:$B$6,2,FALSE)</f>
        <v>Sales</v>
      </c>
      <c r="E7" s="9" t="str">
        <f>IFERROR(VLOOKUP(Table1[[#This Row],[Department ID]],departments!$A$2:$B$6,2,FALSE),"Not Found")</f>
        <v>Sales</v>
      </c>
      <c r="F7" s="7">
        <v>45</v>
      </c>
      <c r="G7" s="8">
        <v>58000</v>
      </c>
      <c r="H7" s="8" t="str">
        <f t="shared" si="0"/>
        <v>Standard</v>
      </c>
      <c r="I7" s="6" t="s">
        <v>27</v>
      </c>
      <c r="J7" s="6">
        <v>2015</v>
      </c>
    </row>
    <row r="8" spans="1:10" x14ac:dyDescent="0.3">
      <c r="A8" s="6" t="s">
        <v>25</v>
      </c>
      <c r="B8" s="6" t="s">
        <v>26</v>
      </c>
      <c r="C8" s="6">
        <v>102</v>
      </c>
      <c r="D8" s="6" t="str">
        <f>VLOOKUP(Table1[[#This Row],[Department ID]],departments!$A$2:$B$6,2,FALSE)</f>
        <v>Marketing</v>
      </c>
      <c r="E8" s="9" t="str">
        <f>IFERROR(VLOOKUP(Table1[[#This Row],[Department ID]],departments!$A$2:$B$6,2,FALSE),"Not Found")</f>
        <v>Marketing</v>
      </c>
      <c r="F8" s="7">
        <v>34</v>
      </c>
      <c r="G8" s="8">
        <v>55000</v>
      </c>
      <c r="H8" s="8" t="str">
        <f t="shared" si="0"/>
        <v>Standard</v>
      </c>
      <c r="I8" s="6" t="s">
        <v>27</v>
      </c>
      <c r="J8" s="6">
        <v>2019</v>
      </c>
    </row>
    <row r="9" spans="1:10" x14ac:dyDescent="0.3">
      <c r="A9" s="6" t="s">
        <v>16</v>
      </c>
      <c r="B9" s="6" t="s">
        <v>17</v>
      </c>
      <c r="C9" s="6">
        <v>999</v>
      </c>
      <c r="D9" s="6" t="e">
        <f>VLOOKUP(Table1[[#This Row],[Department ID]],departments!$A$2:$B$6,2,FALSE)</f>
        <v>#N/A</v>
      </c>
      <c r="E9" s="9" t="str">
        <f>IFERROR(VLOOKUP(Table1[[#This Row],[Department ID]],departments!$A$2:$B$6,2,FALSE),"Not Found")</f>
        <v>Not Found</v>
      </c>
      <c r="F9" s="7">
        <v>30</v>
      </c>
      <c r="G9" s="8">
        <v>53000</v>
      </c>
      <c r="H9" s="8" t="str">
        <f t="shared" si="0"/>
        <v>Standard</v>
      </c>
      <c r="I9" s="6" t="s">
        <v>15</v>
      </c>
      <c r="J9" s="6">
        <v>2021</v>
      </c>
    </row>
    <row r="10" spans="1:10" x14ac:dyDescent="0.3">
      <c r="A10" s="6" t="s">
        <v>13</v>
      </c>
      <c r="B10" s="6" t="s">
        <v>14</v>
      </c>
      <c r="C10" s="6">
        <v>102</v>
      </c>
      <c r="D10" s="6" t="str">
        <f>VLOOKUP(Table1[[#This Row],[Department ID]],departments!$A$2:$B$6,2,FALSE)</f>
        <v>Marketing</v>
      </c>
      <c r="E10" s="9" t="str">
        <f>IFERROR(VLOOKUP(Table1[[#This Row],[Department ID]],departments!$A$2:$B$6,2,FALSE),"Not Found")</f>
        <v>Marketing</v>
      </c>
      <c r="F10" s="7">
        <v>28</v>
      </c>
      <c r="G10" s="8">
        <v>51000</v>
      </c>
      <c r="H10" s="8" t="str">
        <f t="shared" si="0"/>
        <v>Standard</v>
      </c>
      <c r="I10" s="6" t="s">
        <v>15</v>
      </c>
      <c r="J10" s="6">
        <v>2021</v>
      </c>
    </row>
    <row r="11" spans="1:10" x14ac:dyDescent="0.3">
      <c r="A11" s="6" t="s">
        <v>21</v>
      </c>
      <c r="B11" s="6" t="s">
        <v>22</v>
      </c>
      <c r="C11" s="6">
        <v>101</v>
      </c>
      <c r="D11" s="6" t="str">
        <f>VLOOKUP(Table1[[#This Row],[Department ID]],departments!$A$2:$B$6,2,FALSE)</f>
        <v>Sales</v>
      </c>
      <c r="E11" s="9" t="str">
        <f>IFERROR(VLOOKUP(Table1[[#This Row],[Department ID]],departments!$A$2:$B$6,2,FALSE),"Not Found")</f>
        <v>Sales</v>
      </c>
      <c r="F11" s="7">
        <v>33</v>
      </c>
      <c r="G11" s="8">
        <v>47000</v>
      </c>
      <c r="H11" s="8" t="str">
        <f t="shared" si="0"/>
        <v>Standard</v>
      </c>
      <c r="I11" s="6" t="s">
        <v>20</v>
      </c>
      <c r="J11" s="6">
        <v>2020</v>
      </c>
    </row>
    <row r="12" spans="1:10" x14ac:dyDescent="0.3">
      <c r="A12" s="6" t="s">
        <v>18</v>
      </c>
      <c r="B12" s="6" t="s">
        <v>19</v>
      </c>
      <c r="C12" s="6">
        <v>101</v>
      </c>
      <c r="D12" s="6" t="str">
        <f>VLOOKUP(Table1[[#This Row],[Department ID]],departments!$A$2:$B$6,2,FALSE)</f>
        <v>Sales</v>
      </c>
      <c r="E12" s="9" t="str">
        <f>IFERROR(VLOOKUP(Table1[[#This Row],[Department ID]],departments!$A$2:$B$6,2,FALSE),"Not Found")</f>
        <v>Sales</v>
      </c>
      <c r="F12" s="7">
        <v>29</v>
      </c>
      <c r="G12" s="8">
        <v>42000</v>
      </c>
      <c r="H12" s="8" t="str">
        <f t="shared" si="0"/>
        <v>Low Earner</v>
      </c>
      <c r="I12" s="6" t="s">
        <v>20</v>
      </c>
      <c r="J12" s="6">
        <v>2021</v>
      </c>
    </row>
    <row r="13" spans="1:10" x14ac:dyDescent="0.3">
      <c r="A13" s="6" t="s">
        <v>23</v>
      </c>
      <c r="B13" s="6" t="s">
        <v>24</v>
      </c>
      <c r="C13" s="6">
        <v>101</v>
      </c>
      <c r="D13" s="6" t="str">
        <f>VLOOKUP(Table1[[#This Row],[Department ID]],departments!$A$2:$B$6,2,FALSE)</f>
        <v>Sales</v>
      </c>
      <c r="E13" s="9" t="str">
        <f>IFERROR(VLOOKUP(Table1[[#This Row],[Department ID]],departments!$A$2:$B$6,2,FALSE),"Not Found")</f>
        <v>Sales</v>
      </c>
      <c r="F13" s="7">
        <v>26</v>
      </c>
      <c r="G13" s="8">
        <v>39000</v>
      </c>
      <c r="H13" s="8" t="str">
        <f t="shared" si="0"/>
        <v>Low Earner</v>
      </c>
      <c r="I13" s="6" t="s">
        <v>20</v>
      </c>
      <c r="J13" s="6">
        <v>2022</v>
      </c>
    </row>
    <row r="18" spans="13:21" x14ac:dyDescent="0.3">
      <c r="M18" s="3" t="s">
        <v>32</v>
      </c>
      <c r="N18" s="3">
        <v>101</v>
      </c>
      <c r="U18">
        <v>101</v>
      </c>
    </row>
    <row r="19" spans="13:21" x14ac:dyDescent="0.3">
      <c r="M19" s="4" t="s">
        <v>38</v>
      </c>
      <c r="N19" s="5">
        <f>COUNTIF(C2:C13,N18)</f>
        <v>4</v>
      </c>
      <c r="U19">
        <v>102</v>
      </c>
    </row>
    <row r="20" spans="13:21" x14ac:dyDescent="0.3">
      <c r="M20" s="4" t="s">
        <v>37</v>
      </c>
      <c r="N20" s="5">
        <f>SUMIF(C2:C13,N18,G2:G13)</f>
        <v>186000</v>
      </c>
      <c r="U20">
        <v>103</v>
      </c>
    </row>
    <row r="21" spans="13:21" x14ac:dyDescent="0.3">
      <c r="U21">
        <v>104</v>
      </c>
    </row>
    <row r="22" spans="13:21" x14ac:dyDescent="0.3">
      <c r="U22">
        <v>999</v>
      </c>
    </row>
  </sheetData>
  <conditionalFormatting sqref="G2:G13">
    <cfRule type="cellIs" dxfId="15" priority="1" operator="between">
      <formula>45001</formula>
      <formula>64999</formula>
    </cfRule>
    <cfRule type="cellIs" dxfId="14" priority="2" operator="lessThan">
      <formula>45000</formula>
    </cfRule>
    <cfRule type="cellIs" dxfId="13" priority="3" operator="greaterThan">
      <formula>60000</formula>
    </cfRule>
    <cfRule type="cellIs" dxfId="12" priority="4" operator="greaterThan">
      <formula>"₹ 55,500"</formula>
    </cfRule>
  </conditionalFormatting>
  <dataValidations count="1">
    <dataValidation type="list" allowBlank="1" showInputMessage="1" showErrorMessage="1" sqref="N18">
      <formula1>$U$18:$U$22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4" sqref="B14"/>
    </sheetView>
  </sheetViews>
  <sheetFormatPr defaultRowHeight="14.4" x14ac:dyDescent="0.3"/>
  <cols>
    <col min="1" max="1" width="13.109375" bestFit="1" customWidth="1"/>
    <col min="2" max="2" width="16.21875" bestFit="1" customWidth="1"/>
    <col min="3" max="3" width="12.77734375" bestFit="1" customWidth="1"/>
  </cols>
  <sheetData>
    <row r="1" spans="1:4" x14ac:dyDescent="0.3">
      <c r="A1" t="s">
        <v>0</v>
      </c>
      <c r="B1" t="s">
        <v>39</v>
      </c>
      <c r="C1" t="s">
        <v>40</v>
      </c>
      <c r="D1" t="s">
        <v>41</v>
      </c>
    </row>
    <row r="2" spans="1:4" x14ac:dyDescent="0.3">
      <c r="A2">
        <v>103</v>
      </c>
      <c r="B2" t="s">
        <v>42</v>
      </c>
      <c r="C2" t="s">
        <v>43</v>
      </c>
      <c r="D2" t="s">
        <v>3</v>
      </c>
    </row>
    <row r="3" spans="1:4" x14ac:dyDescent="0.3">
      <c r="A3">
        <v>104</v>
      </c>
      <c r="B3" t="s">
        <v>44</v>
      </c>
      <c r="C3" t="s">
        <v>45</v>
      </c>
      <c r="D3" t="s">
        <v>10</v>
      </c>
    </row>
    <row r="4" spans="1:4" x14ac:dyDescent="0.3">
      <c r="A4">
        <v>102</v>
      </c>
      <c r="B4" t="s">
        <v>46</v>
      </c>
      <c r="C4" t="s">
        <v>47</v>
      </c>
      <c r="D4" t="s">
        <v>15</v>
      </c>
    </row>
    <row r="5" spans="1:4" x14ac:dyDescent="0.3">
      <c r="A5">
        <v>101</v>
      </c>
      <c r="B5" t="s">
        <v>48</v>
      </c>
      <c r="C5" t="s">
        <v>49</v>
      </c>
      <c r="D5" t="s">
        <v>20</v>
      </c>
    </row>
    <row r="6" spans="1:4" x14ac:dyDescent="0.3">
      <c r="A6">
        <v>105</v>
      </c>
      <c r="B6" t="s">
        <v>50</v>
      </c>
      <c r="C6" t="s">
        <v>51</v>
      </c>
      <c r="D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J25" sqref="J25"/>
    </sheetView>
  </sheetViews>
  <sheetFormatPr defaultRowHeight="14.4" x14ac:dyDescent="0.3"/>
  <cols>
    <col min="1" max="1" width="12.5546875" customWidth="1"/>
    <col min="2" max="2" width="23.6640625" style="2" customWidth="1"/>
    <col min="3" max="3" width="12" customWidth="1"/>
    <col min="4" max="4" width="9.6640625" customWidth="1"/>
    <col min="5" max="5" width="9.88671875" customWidth="1"/>
    <col min="6" max="6" width="6" customWidth="1"/>
    <col min="7" max="7" width="12" bestFit="1" customWidth="1"/>
  </cols>
  <sheetData>
    <row r="1" spans="1:2" x14ac:dyDescent="0.3">
      <c r="A1" s="13" t="s">
        <v>59</v>
      </c>
      <c r="B1" s="14"/>
    </row>
    <row r="2" spans="1:2" x14ac:dyDescent="0.3">
      <c r="A2" s="14"/>
      <c r="B2" s="14"/>
    </row>
    <row r="3" spans="1:2" x14ac:dyDescent="0.3">
      <c r="A3" s="11" t="s">
        <v>55</v>
      </c>
      <c r="B3" s="2" t="s">
        <v>58</v>
      </c>
    </row>
    <row r="4" spans="1:2" x14ac:dyDescent="0.3">
      <c r="A4" s="12" t="s">
        <v>44</v>
      </c>
      <c r="B4" s="2">
        <v>59000</v>
      </c>
    </row>
    <row r="5" spans="1:2" x14ac:dyDescent="0.3">
      <c r="A5" s="12" t="s">
        <v>42</v>
      </c>
      <c r="B5" s="2">
        <v>68333.333333333328</v>
      </c>
    </row>
    <row r="6" spans="1:2" x14ac:dyDescent="0.3">
      <c r="A6" s="12" t="s">
        <v>46</v>
      </c>
      <c r="B6" s="2">
        <v>53000</v>
      </c>
    </row>
    <row r="7" spans="1:2" x14ac:dyDescent="0.3">
      <c r="A7" s="12" t="s">
        <v>57</v>
      </c>
      <c r="B7" s="2">
        <v>53000</v>
      </c>
    </row>
    <row r="8" spans="1:2" x14ac:dyDescent="0.3">
      <c r="A8" s="12" t="s">
        <v>48</v>
      </c>
      <c r="B8" s="2">
        <v>46500</v>
      </c>
    </row>
    <row r="9" spans="1:2" x14ac:dyDescent="0.3">
      <c r="A9" s="12" t="s">
        <v>56</v>
      </c>
      <c r="B9" s="2">
        <v>55666.666666666664</v>
      </c>
    </row>
  </sheetData>
  <mergeCells count="1">
    <mergeCell ref="A1:B2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employees</vt:lpstr>
      <vt:lpstr>departments</vt:lpstr>
      <vt:lpstr>Piviot_charts</vt:lpstr>
      <vt:lpstr>departments!departments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2026-08-22T22:33:19Z</dcterms:created>
  <dcterms:modified xsi:type="dcterms:W3CDTF">2026-08-23T12:10:50Z</dcterms:modified>
</cp:coreProperties>
</file>